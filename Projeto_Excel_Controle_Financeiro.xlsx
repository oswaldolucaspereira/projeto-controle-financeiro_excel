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8_{716EB199-ED0D-4449-9D5A-6535D762FEAB}" xr6:coauthVersionLast="47" xr6:coauthVersionMax="47" xr10:uidLastSave="{00000000-0000-0000-0000-000000000000}"/>
  <bookViews>
    <workbookView xWindow="-120" yWindow="-120" windowWidth="19440" windowHeight="15000" activeTab="2" xr2:uid="{72A7E3D1-D737-48EC-8C37-ADF5B2B57ACF}"/>
  </bookViews>
  <sheets>
    <sheet name="Base de dados ( Lançamentos )" sheetId="1" r:id="rId1"/>
    <sheet name="Resumo Financeiro" sheetId="3" r:id="rId2"/>
    <sheet name="Dashboard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" i="6" l="1"/>
  <c r="G17" i="6"/>
  <c r="B10" i="6"/>
  <c r="B5" i="6"/>
  <c r="B15" i="6" s="1"/>
</calcChain>
</file>

<file path=xl/sharedStrings.xml><?xml version="1.0" encoding="utf-8"?>
<sst xmlns="http://schemas.openxmlformats.org/spreadsheetml/2006/main" count="242" uniqueCount="74">
  <si>
    <t>CONTROLE FINANCEIRO - PAPELARIA</t>
  </si>
  <si>
    <t xml:space="preserve">LANÇAMENTOS DA PAPELARIA </t>
  </si>
  <si>
    <t>DATA</t>
  </si>
  <si>
    <t>DESCRIÇÃO</t>
  </si>
  <si>
    <t>TIPO</t>
  </si>
  <si>
    <t>CATEGORIA</t>
  </si>
  <si>
    <t>FORMA DE PAGAMENTO</t>
  </si>
  <si>
    <t>VALOR</t>
  </si>
  <si>
    <t>Venda de cadernos</t>
  </si>
  <si>
    <t>Receita</t>
  </si>
  <si>
    <t>Produto</t>
  </si>
  <si>
    <t>Cartão</t>
  </si>
  <si>
    <t>Venda de canetas</t>
  </si>
  <si>
    <t>Pix</t>
  </si>
  <si>
    <t>Compra de mercadoria</t>
  </si>
  <si>
    <t>Despesa</t>
  </si>
  <si>
    <t>Estoque</t>
  </si>
  <si>
    <t>Transferência</t>
  </si>
  <si>
    <t>Venda de lápis</t>
  </si>
  <si>
    <t>Dinheiro</t>
  </si>
  <si>
    <t>Venda de mochilas</t>
  </si>
  <si>
    <t>Conta de energia</t>
  </si>
  <si>
    <t>Fixo</t>
  </si>
  <si>
    <t>Débito automático</t>
  </si>
  <si>
    <t>Venda de estojos</t>
  </si>
  <si>
    <t>Pagamento de aluguel</t>
  </si>
  <si>
    <t>Venda de agendas</t>
  </si>
  <si>
    <t>Internet</t>
  </si>
  <si>
    <t>Venda de livros</t>
  </si>
  <si>
    <t>Venda de folhas A4</t>
  </si>
  <si>
    <t>Venda de marcadores</t>
  </si>
  <si>
    <t>Salário funcionário</t>
  </si>
  <si>
    <t>Água</t>
  </si>
  <si>
    <t>Manutenção loja</t>
  </si>
  <si>
    <t>Extra</t>
  </si>
  <si>
    <t>Marketing digital</t>
  </si>
  <si>
    <t>Impostos</t>
  </si>
  <si>
    <t>Venda geral do dia</t>
  </si>
  <si>
    <t>Venda de material escolar</t>
  </si>
  <si>
    <t>Compra emergencial de estoque</t>
  </si>
  <si>
    <t>Pagamento contador</t>
  </si>
  <si>
    <t>TOTAL DE RECEITAS</t>
  </si>
  <si>
    <t>TOTAL DE DESPESAS</t>
  </si>
  <si>
    <t>PIX</t>
  </si>
  <si>
    <t>CARTÃO</t>
  </si>
  <si>
    <t>DÉBITO AUTOMÁTICO</t>
  </si>
  <si>
    <t>TRANSFERÊNCIA</t>
  </si>
  <si>
    <t>DINHEIRO</t>
  </si>
  <si>
    <t>SALDO DA EMPRESA</t>
  </si>
  <si>
    <t>TOTAL SALDO DA EMPRESA</t>
  </si>
  <si>
    <t>QTD DE DESPESAS</t>
  </si>
  <si>
    <t>QTD DE RECEITAS</t>
  </si>
  <si>
    <t xml:space="preserve">MARGEM </t>
  </si>
  <si>
    <t>PORCENTAGEM MARGEM</t>
  </si>
  <si>
    <t>PERCENTUAL DE DESPESAS</t>
  </si>
  <si>
    <t>PORCENTAGEM DESPESAS</t>
  </si>
  <si>
    <t>STATUS FINANCEIRO</t>
  </si>
  <si>
    <t>14% do que a papelaria faturo.</t>
  </si>
  <si>
    <t>STATUS:</t>
  </si>
  <si>
    <t>PREJUÍZO OPERACIONAL !!!</t>
  </si>
  <si>
    <t>As despesas superaram as receitas, resultando em saldo negativo no período analisado.</t>
  </si>
  <si>
    <t>As despesas consumiram praticamente toda a receita, resultando em saldo negativo.</t>
  </si>
  <si>
    <t>RESUMO FINANCEIRO PAPELARIA</t>
  </si>
  <si>
    <t xml:space="preserve"> </t>
  </si>
  <si>
    <t>Dashboard - Papelaria Controle</t>
  </si>
  <si>
    <t>TOTAl DE RECEITAS</t>
  </si>
  <si>
    <t>SOMA DAS DESPESAS</t>
  </si>
  <si>
    <t>TOTAL GERAL</t>
  </si>
  <si>
    <t>SOMA DAS RECEITAS</t>
  </si>
  <si>
    <t xml:space="preserve">VALOR </t>
  </si>
  <si>
    <t>MARGEM</t>
  </si>
  <si>
    <t>PRÉJUIZO OPERACIONAL</t>
  </si>
  <si>
    <t>TOP 5 MAIS RECEITAS</t>
  </si>
  <si>
    <t>TOP 5 MAIS DESPESAS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</si>
</sst>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11"/>
      <color theme="1" tint="4.9989318521683403E-2"/>
      <name val="Arial"/>
      <family val="2"/>
    </font>
    <font>
      <b/>
      <sz val="11"/>
      <color theme="1" tint="4.9989318521683403E-2"/>
      <name val="Arial"/>
      <family val="2"/>
    </font>
    <font>
      <b/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48"/>
      <color theme="0"/>
      <name val="Arial"/>
      <family val="2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12"/>
      <color rgb="FF92D05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6"/>
      <color theme="1" tint="4.9989318521683403E-2"/>
      <name val="Arial"/>
      <family val="2"/>
    </font>
    <font>
      <b/>
      <sz val="36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/>
    <xf numFmtId="44" fontId="0" fillId="0" borderId="0" xfId="1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64" fontId="3" fillId="0" borderId="3" xfId="0" applyNumberFormat="1" applyFont="1" applyBorder="1" applyAlignment="1">
      <alignment vertical="center" wrapText="1"/>
    </xf>
    <xf numFmtId="44" fontId="3" fillId="0" borderId="3" xfId="1" applyFont="1" applyBorder="1" applyAlignment="1">
      <alignment vertical="center" wrapText="1"/>
    </xf>
    <xf numFmtId="14" fontId="3" fillId="0" borderId="7" xfId="0" applyNumberFormat="1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44" fontId="3" fillId="0" borderId="9" xfId="1" applyFont="1" applyBorder="1" applyAlignment="1">
      <alignment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0" borderId="0" xfId="0" applyFont="1"/>
    <xf numFmtId="0" fontId="3" fillId="0" borderId="1" xfId="0" applyFont="1" applyBorder="1"/>
    <xf numFmtId="44" fontId="3" fillId="0" borderId="1" xfId="1" applyFont="1" applyBorder="1"/>
    <xf numFmtId="0" fontId="3" fillId="0" borderId="1" xfId="0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8" fontId="6" fillId="0" borderId="1" xfId="1" applyNumberFormat="1" applyFont="1" applyBorder="1"/>
    <xf numFmtId="164" fontId="0" fillId="0" borderId="1" xfId="0" applyNumberFormat="1" applyBorder="1"/>
    <xf numFmtId="44" fontId="3" fillId="0" borderId="8" xfId="1" applyFont="1" applyFill="1" applyBorder="1" applyAlignment="1">
      <alignment horizontal="left" vertic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44" fontId="8" fillId="0" borderId="8" xfId="1" applyFont="1" applyBorder="1"/>
    <xf numFmtId="44" fontId="9" fillId="0" borderId="8" xfId="1" applyFont="1" applyBorder="1"/>
    <xf numFmtId="9" fontId="9" fillId="0" borderId="1" xfId="2" applyFont="1" applyBorder="1"/>
    <xf numFmtId="9" fontId="10" fillId="0" borderId="1" xfId="2" applyFont="1" applyBorder="1"/>
    <xf numFmtId="8" fontId="7" fillId="0" borderId="1" xfId="1" applyNumberFormat="1" applyFont="1" applyBorder="1"/>
    <xf numFmtId="0" fontId="10" fillId="0" borderId="1" xfId="0" applyFont="1" applyBorder="1" applyAlignment="1">
      <alignment horizontal="center" vertical="center"/>
    </xf>
    <xf numFmtId="44" fontId="0" fillId="0" borderId="0" xfId="0" applyNumberFormat="1"/>
    <xf numFmtId="0" fontId="13" fillId="10" borderId="0" xfId="0" applyFont="1" applyFill="1"/>
    <xf numFmtId="0" fontId="0" fillId="4" borderId="0" xfId="0" applyFill="1"/>
    <xf numFmtId="164" fontId="17" fillId="0" borderId="1" xfId="0" applyNumberFormat="1" applyFont="1" applyBorder="1"/>
    <xf numFmtId="0" fontId="19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7" fillId="15" borderId="1" xfId="0" applyFont="1" applyFill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4" fontId="24" fillId="0" borderId="1" xfId="0" applyNumberFormat="1" applyFont="1" applyBorder="1"/>
    <xf numFmtId="0" fontId="25" fillId="16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0" fillId="11" borderId="0" xfId="0" applyFill="1"/>
    <xf numFmtId="0" fontId="0" fillId="13" borderId="1" xfId="0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13" borderId="1" xfId="0" applyFill="1" applyBorder="1"/>
    <xf numFmtId="0" fontId="2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8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8" fillId="15" borderId="1" xfId="0" applyFont="1" applyFill="1" applyBorder="1" applyAlignment="1">
      <alignment horizontal="center"/>
    </xf>
    <xf numFmtId="0" fontId="23" fillId="14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27" fillId="18" borderId="14" xfId="0" applyFont="1" applyFill="1" applyBorder="1" applyAlignment="1">
      <alignment horizontal="center"/>
    </xf>
    <xf numFmtId="0" fontId="27" fillId="18" borderId="15" xfId="0" applyFont="1" applyFill="1" applyBorder="1" applyAlignment="1">
      <alignment horizontal="center"/>
    </xf>
    <xf numFmtId="0" fontId="27" fillId="18" borderId="16" xfId="0" applyFont="1" applyFill="1" applyBorder="1" applyAlignment="1">
      <alignment horizontal="center"/>
    </xf>
    <xf numFmtId="0" fontId="14" fillId="12" borderId="14" xfId="0" applyFont="1" applyFill="1" applyBorder="1" applyAlignment="1">
      <alignment horizontal="center"/>
    </xf>
    <xf numFmtId="0" fontId="14" fillId="12" borderId="15" xfId="0" applyFont="1" applyFill="1" applyBorder="1" applyAlignment="1">
      <alignment horizontal="center"/>
    </xf>
    <xf numFmtId="0" fontId="14" fillId="12" borderId="16" xfId="0" applyFont="1" applyFill="1" applyBorder="1" applyAlignment="1">
      <alignment horizontal="center"/>
    </xf>
    <xf numFmtId="164" fontId="21" fillId="13" borderId="17" xfId="0" applyNumberFormat="1" applyFont="1" applyFill="1" applyBorder="1" applyAlignment="1">
      <alignment horizontal="center" vertical="center"/>
    </xf>
    <xf numFmtId="164" fontId="21" fillId="13" borderId="0" xfId="0" applyNumberFormat="1" applyFont="1" applyFill="1" applyAlignment="1">
      <alignment horizontal="center" vertical="center"/>
    </xf>
    <xf numFmtId="164" fontId="21" fillId="13" borderId="18" xfId="0" applyNumberFormat="1" applyFont="1" applyFill="1" applyBorder="1" applyAlignment="1">
      <alignment horizontal="center" vertical="center"/>
    </xf>
    <xf numFmtId="164" fontId="21" fillId="13" borderId="19" xfId="0" applyNumberFormat="1" applyFont="1" applyFill="1" applyBorder="1" applyAlignment="1">
      <alignment horizontal="center" vertical="center"/>
    </xf>
    <xf numFmtId="164" fontId="21" fillId="13" borderId="20" xfId="0" applyNumberFormat="1" applyFont="1" applyFill="1" applyBorder="1" applyAlignment="1">
      <alignment horizontal="center" vertical="center"/>
    </xf>
    <xf numFmtId="164" fontId="21" fillId="13" borderId="21" xfId="0" applyNumberFormat="1" applyFont="1" applyFill="1" applyBorder="1" applyAlignment="1">
      <alignment horizontal="center" vertical="center"/>
    </xf>
    <xf numFmtId="0" fontId="15" fillId="8" borderId="14" xfId="0" applyFont="1" applyFill="1" applyBorder="1" applyAlignment="1">
      <alignment horizontal="center"/>
    </xf>
    <xf numFmtId="0" fontId="15" fillId="8" borderId="15" xfId="0" applyFont="1" applyFill="1" applyBorder="1" applyAlignment="1">
      <alignment horizontal="center"/>
    </xf>
    <xf numFmtId="0" fontId="15" fillId="8" borderId="16" xfId="0" applyFont="1" applyFill="1" applyBorder="1" applyAlignment="1">
      <alignment horizontal="center"/>
    </xf>
    <xf numFmtId="44" fontId="20" fillId="13" borderId="17" xfId="1" applyFont="1" applyFill="1" applyBorder="1" applyAlignment="1">
      <alignment horizontal="center" vertical="center"/>
    </xf>
    <xf numFmtId="44" fontId="20" fillId="13" borderId="0" xfId="1" applyFont="1" applyFill="1" applyBorder="1" applyAlignment="1">
      <alignment horizontal="center" vertical="center"/>
    </xf>
    <xf numFmtId="44" fontId="20" fillId="13" borderId="18" xfId="1" applyFont="1" applyFill="1" applyBorder="1" applyAlignment="1">
      <alignment horizontal="center" vertical="center"/>
    </xf>
    <xf numFmtId="44" fontId="20" fillId="13" borderId="19" xfId="1" applyFont="1" applyFill="1" applyBorder="1" applyAlignment="1">
      <alignment horizontal="center" vertical="center"/>
    </xf>
    <xf numFmtId="44" fontId="20" fillId="13" borderId="20" xfId="1" applyFont="1" applyFill="1" applyBorder="1" applyAlignment="1">
      <alignment horizontal="center" vertical="center"/>
    </xf>
    <xf numFmtId="44" fontId="20" fillId="13" borderId="21" xfId="1" applyFont="1" applyFill="1" applyBorder="1" applyAlignment="1">
      <alignment horizontal="center" vertical="center"/>
    </xf>
    <xf numFmtId="0" fontId="14" fillId="17" borderId="14" xfId="0" applyFont="1" applyFill="1" applyBorder="1" applyAlignment="1">
      <alignment horizontal="center"/>
    </xf>
    <xf numFmtId="0" fontId="14" fillId="17" borderId="15" xfId="0" applyFont="1" applyFill="1" applyBorder="1" applyAlignment="1">
      <alignment horizontal="center"/>
    </xf>
    <xf numFmtId="0" fontId="14" fillId="17" borderId="16" xfId="0" applyFont="1" applyFill="1" applyBorder="1" applyAlignment="1">
      <alignment horizontal="center"/>
    </xf>
    <xf numFmtId="164" fontId="20" fillId="13" borderId="17" xfId="0" applyNumberFormat="1" applyFont="1" applyFill="1" applyBorder="1" applyAlignment="1">
      <alignment horizontal="center" vertical="center"/>
    </xf>
    <xf numFmtId="164" fontId="20" fillId="13" borderId="0" xfId="0" applyNumberFormat="1" applyFont="1" applyFill="1" applyAlignment="1">
      <alignment horizontal="center" vertical="center"/>
    </xf>
    <xf numFmtId="164" fontId="20" fillId="13" borderId="18" xfId="0" applyNumberFormat="1" applyFont="1" applyFill="1" applyBorder="1" applyAlignment="1">
      <alignment horizontal="center" vertical="center"/>
    </xf>
    <xf numFmtId="164" fontId="20" fillId="13" borderId="19" xfId="0" applyNumberFormat="1" applyFont="1" applyFill="1" applyBorder="1" applyAlignment="1">
      <alignment horizontal="center" vertical="center"/>
    </xf>
    <xf numFmtId="164" fontId="20" fillId="13" borderId="20" xfId="0" applyNumberFormat="1" applyFont="1" applyFill="1" applyBorder="1" applyAlignment="1">
      <alignment horizontal="center" vertical="center"/>
    </xf>
    <xf numFmtId="164" fontId="20" fillId="13" borderId="21" xfId="0" applyNumberFormat="1" applyFont="1" applyFill="1" applyBorder="1" applyAlignment="1">
      <alignment horizontal="center" vertical="center"/>
    </xf>
    <xf numFmtId="9" fontId="26" fillId="13" borderId="17" xfId="0" applyNumberFormat="1" applyFont="1" applyFill="1" applyBorder="1" applyAlignment="1">
      <alignment horizontal="center" vertical="center"/>
    </xf>
    <xf numFmtId="9" fontId="26" fillId="13" borderId="0" xfId="0" applyNumberFormat="1" applyFont="1" applyFill="1" applyAlignment="1">
      <alignment horizontal="center" vertical="center"/>
    </xf>
    <xf numFmtId="9" fontId="26" fillId="13" borderId="18" xfId="0" applyNumberFormat="1" applyFont="1" applyFill="1" applyBorder="1" applyAlignment="1">
      <alignment horizontal="center" vertical="center"/>
    </xf>
    <xf numFmtId="9" fontId="26" fillId="13" borderId="19" xfId="0" applyNumberFormat="1" applyFont="1" applyFill="1" applyBorder="1" applyAlignment="1">
      <alignment horizontal="center" vertical="center"/>
    </xf>
    <xf numFmtId="9" fontId="26" fillId="13" borderId="20" xfId="0" applyNumberFormat="1" applyFont="1" applyFill="1" applyBorder="1" applyAlignment="1">
      <alignment horizontal="center" vertical="center"/>
    </xf>
    <xf numFmtId="9" fontId="26" fillId="13" borderId="21" xfId="0" applyNumberFormat="1" applyFont="1" applyFill="1" applyBorder="1" applyAlignment="1">
      <alignment horizontal="center" vertical="center"/>
    </xf>
    <xf numFmtId="0" fontId="27" fillId="19" borderId="14" xfId="0" applyFont="1" applyFill="1" applyBorder="1" applyAlignment="1">
      <alignment horizontal="center"/>
    </xf>
    <xf numFmtId="0" fontId="27" fillId="19" borderId="15" xfId="0" applyFont="1" applyFill="1" applyBorder="1" applyAlignment="1">
      <alignment horizontal="center"/>
    </xf>
    <xf numFmtId="0" fontId="27" fillId="19" borderId="16" xfId="0" applyFont="1" applyFill="1" applyBorder="1" applyAlignment="1">
      <alignment horizontal="center"/>
    </xf>
    <xf numFmtId="0" fontId="27" fillId="20" borderId="1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6" xfId="0" applyFont="1" applyFill="1" applyBorder="1" applyAlignment="1">
      <alignment horizontal="center"/>
    </xf>
    <xf numFmtId="9" fontId="20" fillId="13" borderId="17" xfId="0" applyNumberFormat="1" applyFont="1" applyFill="1" applyBorder="1" applyAlignment="1">
      <alignment horizontal="center" vertical="center"/>
    </xf>
    <xf numFmtId="9" fontId="20" fillId="13" borderId="0" xfId="0" applyNumberFormat="1" applyFont="1" applyFill="1" applyAlignment="1">
      <alignment horizontal="center" vertical="center"/>
    </xf>
    <xf numFmtId="9" fontId="20" fillId="13" borderId="18" xfId="0" applyNumberFormat="1" applyFont="1" applyFill="1" applyBorder="1" applyAlignment="1">
      <alignment horizontal="center" vertical="center"/>
    </xf>
    <xf numFmtId="9" fontId="20" fillId="13" borderId="19" xfId="0" applyNumberFormat="1" applyFont="1" applyFill="1" applyBorder="1" applyAlignment="1">
      <alignment horizontal="center" vertical="center"/>
    </xf>
    <xf numFmtId="9" fontId="20" fillId="13" borderId="20" xfId="0" applyNumberFormat="1" applyFont="1" applyFill="1" applyBorder="1" applyAlignment="1">
      <alignment horizontal="center" vertical="center"/>
    </xf>
    <xf numFmtId="9" fontId="20" fillId="13" borderId="21" xfId="0" applyNumberFormat="1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3300"/>
      <color rgb="FFFF9393"/>
      <color rgb="FFFF7575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6"/>
                </a:solidFill>
              </a:rPr>
              <a:t>SOMA DAS RECEITAS VALOR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9154743650551992"/>
          <c:y val="0.17171296296296298"/>
          <c:w val="0.80449116431296286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Dashboard!$G$4:$G$5</c:f>
              <c:strCache>
                <c:ptCount val="2"/>
                <c:pt idx="0">
                  <c:v>SOMA DAS RECEITAS</c:v>
                </c:pt>
                <c:pt idx="1">
                  <c:v>VALOR 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cat>
            <c:strRef>
              <c:f>Dashboard!$F$6:$F$17</c:f>
              <c:strCache>
                <c:ptCount val="12"/>
                <c:pt idx="0">
                  <c:v>Venda de agendas</c:v>
                </c:pt>
                <c:pt idx="1">
                  <c:v>Venda de cadernos</c:v>
                </c:pt>
                <c:pt idx="2">
                  <c:v>Venda de canetas</c:v>
                </c:pt>
                <c:pt idx="3">
                  <c:v>Venda de estojos</c:v>
                </c:pt>
                <c:pt idx="4">
                  <c:v>Venda de folhas A4</c:v>
                </c:pt>
                <c:pt idx="5">
                  <c:v>Venda de lápis</c:v>
                </c:pt>
                <c:pt idx="6">
                  <c:v>Venda de livros</c:v>
                </c:pt>
                <c:pt idx="7">
                  <c:v>Venda de marcadores</c:v>
                </c:pt>
                <c:pt idx="8">
                  <c:v>Venda de material escolar</c:v>
                </c:pt>
                <c:pt idx="9">
                  <c:v>Venda de mochilas</c:v>
                </c:pt>
                <c:pt idx="10">
                  <c:v>Venda geral do dia</c:v>
                </c:pt>
                <c:pt idx="11">
                  <c:v>TOTAL GERAL</c:v>
                </c:pt>
              </c:strCache>
            </c:strRef>
          </c:cat>
          <c:val>
            <c:numRef>
              <c:f>Dashboard!$G$6:$G$17</c:f>
              <c:numCache>
                <c:formatCode>_-[$R$-416]\ * #,##0.00_-;\-[$R$-416]\ * #,##0.00_-;_-[$R$-416]\ * "-"??_-;_-@_-</c:formatCode>
                <c:ptCount val="12"/>
                <c:pt idx="0">
                  <c:v>640</c:v>
                </c:pt>
                <c:pt idx="1">
                  <c:v>1150</c:v>
                </c:pt>
                <c:pt idx="2">
                  <c:v>620</c:v>
                </c:pt>
                <c:pt idx="3">
                  <c:v>540</c:v>
                </c:pt>
                <c:pt idx="4">
                  <c:v>200</c:v>
                </c:pt>
                <c:pt idx="5">
                  <c:v>260</c:v>
                </c:pt>
                <c:pt idx="6">
                  <c:v>1020</c:v>
                </c:pt>
                <c:pt idx="7">
                  <c:v>150</c:v>
                </c:pt>
                <c:pt idx="8">
                  <c:v>460</c:v>
                </c:pt>
                <c:pt idx="9">
                  <c:v>2270</c:v>
                </c:pt>
                <c:pt idx="10">
                  <c:v>800</c:v>
                </c:pt>
                <c:pt idx="11">
                  <c:v>8110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AA-4871-B6C4-67267D676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3880928"/>
        <c:axId val="483882848"/>
      </c:barChart>
      <c:catAx>
        <c:axId val="483880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3882848"/>
        <c:crosses val="autoZero"/>
        <c:auto val="1"/>
        <c:lblAlgn val="ctr"/>
        <c:lblOffset val="100"/>
        <c:noMultiLvlLbl val="0"/>
      </c:catAx>
      <c:valAx>
        <c:axId val="48388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388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FF3300"/>
                </a:solidFill>
              </a:rPr>
              <a:t>SOMA DAS DESPESAS VALOR </a:t>
            </a:r>
          </a:p>
        </c:rich>
      </c:tx>
      <c:layout>
        <c:manualLayout>
          <c:xMode val="edge"/>
          <c:yMode val="edge"/>
          <c:x val="0.3651099956916262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7557506218067154"/>
          <c:y val="0.19895851560221639"/>
          <c:w val="0.77072568345875192"/>
          <c:h val="0.698271726450860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Dashboard!$J$4:$J$5</c:f>
              <c:strCache>
                <c:ptCount val="2"/>
                <c:pt idx="0">
                  <c:v>SOMA DAS DESPESAS</c:v>
                </c:pt>
                <c:pt idx="1">
                  <c:v>VALOR 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Dashboard!$I$6:$I$17</c:f>
              <c:strCache>
                <c:ptCount val="12"/>
                <c:pt idx="0">
                  <c:v>Água</c:v>
                </c:pt>
                <c:pt idx="1">
                  <c:v>Compra de mercadoria</c:v>
                </c:pt>
                <c:pt idx="2">
                  <c:v>Compra emergencial de estoque</c:v>
                </c:pt>
                <c:pt idx="3">
                  <c:v>Conta de energia</c:v>
                </c:pt>
                <c:pt idx="4">
                  <c:v>Impostos</c:v>
                </c:pt>
                <c:pt idx="5">
                  <c:v>Internet</c:v>
                </c:pt>
                <c:pt idx="6">
                  <c:v>Manutenção loja</c:v>
                </c:pt>
                <c:pt idx="7">
                  <c:v>Marketing digital</c:v>
                </c:pt>
                <c:pt idx="8">
                  <c:v>Pagamento contador</c:v>
                </c:pt>
                <c:pt idx="9">
                  <c:v>Pagamento de aluguel</c:v>
                </c:pt>
                <c:pt idx="10">
                  <c:v>Salário funcionário</c:v>
                </c:pt>
                <c:pt idx="11">
                  <c:v>TOTAL GERAL</c:v>
                </c:pt>
              </c:strCache>
            </c:strRef>
          </c:cat>
          <c:val>
            <c:numRef>
              <c:f>Dashboard!$J$6:$J$17</c:f>
              <c:numCache>
                <c:formatCode>_-[$R$-416]\ * #,##0.00_-;\-[$R$-416]\ * #,##0.00_-;_-[$R$-416]\ * "-"??_-;_-@_-</c:formatCode>
                <c:ptCount val="12"/>
                <c:pt idx="0">
                  <c:v>90</c:v>
                </c:pt>
                <c:pt idx="1">
                  <c:v>3500</c:v>
                </c:pt>
                <c:pt idx="2">
                  <c:v>500</c:v>
                </c:pt>
                <c:pt idx="3">
                  <c:v>280</c:v>
                </c:pt>
                <c:pt idx="4">
                  <c:v>600</c:v>
                </c:pt>
                <c:pt idx="5">
                  <c:v>120</c:v>
                </c:pt>
                <c:pt idx="6">
                  <c:v>400</c:v>
                </c:pt>
                <c:pt idx="7">
                  <c:v>300</c:v>
                </c:pt>
                <c:pt idx="8">
                  <c:v>400</c:v>
                </c:pt>
                <c:pt idx="9">
                  <c:v>1500</c:v>
                </c:pt>
                <c:pt idx="10">
                  <c:v>1800</c:v>
                </c:pt>
                <c:pt idx="11">
                  <c:v>9490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8-4BBD-BF47-EA3F1CEDA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3877088"/>
        <c:axId val="483877568"/>
      </c:barChart>
      <c:catAx>
        <c:axId val="483877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3877568"/>
        <c:crosses val="autoZero"/>
        <c:auto val="1"/>
        <c:lblAlgn val="ctr"/>
        <c:lblOffset val="100"/>
        <c:noMultiLvlLbl val="0"/>
      </c:catAx>
      <c:valAx>
        <c:axId val="48387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387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180976</xdr:colOff>
      <xdr:row>17</xdr:row>
      <xdr:rowOff>185737</xdr:rowOff>
    </xdr:from>
    <xdr:to>
      <xdr:col>10</xdr:col>
      <xdr:colOff>0</xdr:colOff>
      <xdr:row>31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84C7AF0-2228-7B9D-93AA-AFABF3276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196849</xdr:colOff>
      <xdr:row>32</xdr:row>
      <xdr:rowOff>152928</xdr:rowOff>
    </xdr:from>
    <xdr:to>
      <xdr:col>9</xdr:col>
      <xdr:colOff>1435100</xdr:colOff>
      <xdr:row>47</xdr:row>
      <xdr:rowOff>38628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1E53155-C36B-9590-3266-5B07154B8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7464D-2BFE-457D-8895-A4C5AE7D9FBC}" name="Tabela1" displayName="Tabela1" ref="A6:F42" totalsRowShown="0" headerRowDxfId="16" dataDxfId="14" headerRowBorderDxfId="15" tableBorderDxfId="13" totalsRowBorderDxfId="12">
  <autoFilter ref="A6:F42" xr:uid="{D587464D-2BFE-457D-8895-A4C5AE7D9FBC}"/>
  <tableColumns count="6">
    <tableColumn id="1" xr3:uid="{65CB3811-7EC5-41B5-9888-D17A86B358F2}" name="DATA" dataDxfId="11"/>
    <tableColumn id="2" xr3:uid="{B158B54D-33D3-418B-872F-2A248E99AFE2}" name="DESCRIÇÃO" dataDxfId="10"/>
    <tableColumn id="3" xr3:uid="{C7637C1D-82FA-4DD0-91E7-45245542C2A2}" name="TIPO" dataDxfId="9"/>
    <tableColumn id="4" xr3:uid="{775E2963-0FA8-48A4-9E6A-04E5CF364F66}" name="CATEGORIA" dataDxfId="8"/>
    <tableColumn id="5" xr3:uid="{CC9731F8-5B60-4640-95EF-B2067DE54FDB}" name="FORMA DE PAGAMENTO" dataDxfId="7"/>
    <tableColumn id="6" xr3:uid="{18AEEE46-7912-4FD2-94AD-922304ABB937}" name="VALOR" dataDxfId="6" dataCellStyle="Moeda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8AE8-168A-45C5-BE3C-BEC9D53645CD}">
  <dimension ref="A1:F43"/>
  <sheetViews>
    <sheetView zoomScaleNormal="100" workbookViewId="0">
      <selection activeCell="E27" sqref="E27"/>
    </sheetView>
  </sheetViews>
  <sheetFormatPr defaultRowHeight="14.25" customHeight="1" x14ac:dyDescent="0.25"/>
  <cols>
    <col min="1" max="1" width="17.5703125" customWidth="1"/>
    <col min="2" max="2" width="25.140625" customWidth="1"/>
    <col min="3" max="3" width="14.7109375" customWidth="1"/>
    <col min="4" max="4" width="15.85546875" customWidth="1"/>
    <col min="5" max="5" width="27.140625" customWidth="1"/>
    <col min="6" max="6" width="18.28515625" customWidth="1"/>
  </cols>
  <sheetData>
    <row r="1" spans="1:6" s="50" customFormat="1" ht="14.25" customHeight="1" x14ac:dyDescent="0.25">
      <c r="A1" s="50" t="s">
        <v>0</v>
      </c>
    </row>
    <row r="2" spans="1:6" s="50" customFormat="1" ht="14.25" customHeight="1" x14ac:dyDescent="0.25"/>
    <row r="3" spans="1:6" ht="9.75" customHeight="1" x14ac:dyDescent="0.25"/>
    <row r="4" spans="1:6" ht="20.25" customHeight="1" x14ac:dyDescent="0.25">
      <c r="A4" s="51" t="s">
        <v>1</v>
      </c>
      <c r="B4" s="51"/>
      <c r="C4" s="51"/>
      <c r="D4" s="51"/>
      <c r="E4" s="51"/>
      <c r="F4" s="51"/>
    </row>
    <row r="5" spans="1:6" ht="7.5" customHeight="1" x14ac:dyDescent="0.25">
      <c r="A5" s="3"/>
      <c r="B5" s="3"/>
      <c r="C5" s="3"/>
      <c r="D5" s="3"/>
      <c r="E5" s="3"/>
      <c r="F5" s="3"/>
    </row>
    <row r="6" spans="1:6" ht="23.25" customHeight="1" x14ac:dyDescent="0.25">
      <c r="A6" s="11" t="s">
        <v>2</v>
      </c>
      <c r="B6" s="12" t="s">
        <v>3</v>
      </c>
      <c r="C6" s="12" t="s">
        <v>4</v>
      </c>
      <c r="D6" s="12" t="s">
        <v>5</v>
      </c>
      <c r="E6" s="12" t="s">
        <v>6</v>
      </c>
      <c r="F6" s="13" t="s">
        <v>7</v>
      </c>
    </row>
    <row r="7" spans="1:6" ht="14.25" customHeight="1" x14ac:dyDescent="0.25">
      <c r="A7" s="5">
        <v>46082</v>
      </c>
      <c r="B7" s="4" t="s">
        <v>8</v>
      </c>
      <c r="C7" s="4" t="s">
        <v>9</v>
      </c>
      <c r="D7" s="4" t="s">
        <v>10</v>
      </c>
      <c r="E7" s="4" t="s">
        <v>11</v>
      </c>
      <c r="F7" s="6">
        <v>350</v>
      </c>
    </row>
    <row r="8" spans="1:6" ht="14.25" customHeight="1" x14ac:dyDescent="0.25">
      <c r="A8" s="5">
        <v>46082</v>
      </c>
      <c r="B8" s="4" t="s">
        <v>12</v>
      </c>
      <c r="C8" s="4" t="s">
        <v>9</v>
      </c>
      <c r="D8" s="4" t="s">
        <v>10</v>
      </c>
      <c r="E8" s="4" t="s">
        <v>13</v>
      </c>
      <c r="F8" s="6">
        <v>180</v>
      </c>
    </row>
    <row r="9" spans="1:6" ht="14.25" customHeight="1" x14ac:dyDescent="0.25">
      <c r="A9" s="5">
        <v>46083</v>
      </c>
      <c r="B9" s="4" t="s">
        <v>14</v>
      </c>
      <c r="C9" s="4" t="s">
        <v>15</v>
      </c>
      <c r="D9" s="4" t="s">
        <v>16</v>
      </c>
      <c r="E9" s="4" t="s">
        <v>17</v>
      </c>
      <c r="F9" s="6">
        <v>1200</v>
      </c>
    </row>
    <row r="10" spans="1:6" ht="14.25" customHeight="1" x14ac:dyDescent="0.25">
      <c r="A10" s="5">
        <v>46083</v>
      </c>
      <c r="B10" s="4" t="s">
        <v>18</v>
      </c>
      <c r="C10" s="4" t="s">
        <v>9</v>
      </c>
      <c r="D10" s="4" t="s">
        <v>10</v>
      </c>
      <c r="E10" s="4" t="s">
        <v>19</v>
      </c>
      <c r="F10" s="6">
        <v>120</v>
      </c>
    </row>
    <row r="11" spans="1:6" ht="14.25" customHeight="1" x14ac:dyDescent="0.25">
      <c r="A11" s="5">
        <v>46084</v>
      </c>
      <c r="B11" s="4" t="s">
        <v>20</v>
      </c>
      <c r="C11" s="4" t="s">
        <v>9</v>
      </c>
      <c r="D11" s="4" t="s">
        <v>10</v>
      </c>
      <c r="E11" s="4" t="s">
        <v>11</v>
      </c>
      <c r="F11" s="6">
        <v>420</v>
      </c>
    </row>
    <row r="12" spans="1:6" ht="14.25" customHeight="1" x14ac:dyDescent="0.25">
      <c r="A12" s="5">
        <v>46085</v>
      </c>
      <c r="B12" s="4" t="s">
        <v>21</v>
      </c>
      <c r="C12" s="4" t="s">
        <v>15</v>
      </c>
      <c r="D12" s="4" t="s">
        <v>22</v>
      </c>
      <c r="E12" s="4" t="s">
        <v>17</v>
      </c>
      <c r="F12" s="6">
        <v>280</v>
      </c>
    </row>
    <row r="13" spans="1:6" ht="14.25" customHeight="1" x14ac:dyDescent="0.25">
      <c r="A13" s="5">
        <v>46086</v>
      </c>
      <c r="B13" s="4" t="s">
        <v>24</v>
      </c>
      <c r="C13" s="4" t="s">
        <v>9</v>
      </c>
      <c r="D13" s="4" t="s">
        <v>10</v>
      </c>
      <c r="E13" s="4" t="s">
        <v>13</v>
      </c>
      <c r="F13" s="6">
        <v>260</v>
      </c>
    </row>
    <row r="14" spans="1:6" ht="14.25" customHeight="1" x14ac:dyDescent="0.25">
      <c r="A14" s="5">
        <v>46087</v>
      </c>
      <c r="B14" s="4" t="s">
        <v>25</v>
      </c>
      <c r="C14" s="4" t="s">
        <v>15</v>
      </c>
      <c r="D14" s="4" t="s">
        <v>22</v>
      </c>
      <c r="E14" s="4" t="s">
        <v>17</v>
      </c>
      <c r="F14" s="6">
        <v>1500</v>
      </c>
    </row>
    <row r="15" spans="1:6" ht="14.25" customHeight="1" x14ac:dyDescent="0.25">
      <c r="A15" s="5">
        <v>46088</v>
      </c>
      <c r="B15" s="4" t="s">
        <v>26</v>
      </c>
      <c r="C15" s="4" t="s">
        <v>9</v>
      </c>
      <c r="D15" s="4" t="s">
        <v>10</v>
      </c>
      <c r="E15" s="4" t="s">
        <v>11</v>
      </c>
      <c r="F15" s="6">
        <v>310</v>
      </c>
    </row>
    <row r="16" spans="1:6" ht="14.25" customHeight="1" x14ac:dyDescent="0.25">
      <c r="A16" s="5">
        <v>46089</v>
      </c>
      <c r="B16" s="4" t="s">
        <v>27</v>
      </c>
      <c r="C16" s="4" t="s">
        <v>15</v>
      </c>
      <c r="D16" s="4" t="s">
        <v>22</v>
      </c>
      <c r="E16" s="4" t="s">
        <v>23</v>
      </c>
      <c r="F16" s="6">
        <v>120</v>
      </c>
    </row>
    <row r="17" spans="1:6" ht="14.25" customHeight="1" x14ac:dyDescent="0.25">
      <c r="A17" s="5">
        <v>46090</v>
      </c>
      <c r="B17" s="4" t="s">
        <v>28</v>
      </c>
      <c r="C17" s="4" t="s">
        <v>9</v>
      </c>
      <c r="D17" s="4" t="s">
        <v>10</v>
      </c>
      <c r="E17" s="4" t="s">
        <v>11</v>
      </c>
      <c r="F17" s="6">
        <v>500</v>
      </c>
    </row>
    <row r="18" spans="1:6" ht="14.25" customHeight="1" x14ac:dyDescent="0.25">
      <c r="A18" s="5">
        <v>46091</v>
      </c>
      <c r="B18" s="4" t="s">
        <v>14</v>
      </c>
      <c r="C18" s="4" t="s">
        <v>15</v>
      </c>
      <c r="D18" s="4" t="s">
        <v>16</v>
      </c>
      <c r="E18" s="4" t="s">
        <v>17</v>
      </c>
      <c r="F18" s="6">
        <v>900</v>
      </c>
    </row>
    <row r="19" spans="1:6" ht="14.25" customHeight="1" x14ac:dyDescent="0.25">
      <c r="A19" s="5">
        <v>46092</v>
      </c>
      <c r="B19" s="4" t="s">
        <v>29</v>
      </c>
      <c r="C19" s="4" t="s">
        <v>9</v>
      </c>
      <c r="D19" s="4" t="s">
        <v>10</v>
      </c>
      <c r="E19" s="4" t="s">
        <v>19</v>
      </c>
      <c r="F19" s="6">
        <v>200</v>
      </c>
    </row>
    <row r="20" spans="1:6" ht="14.25" customHeight="1" x14ac:dyDescent="0.25">
      <c r="A20" s="5">
        <v>46093</v>
      </c>
      <c r="B20" s="4" t="s">
        <v>30</v>
      </c>
      <c r="C20" s="4" t="s">
        <v>9</v>
      </c>
      <c r="D20" s="4" t="s">
        <v>10</v>
      </c>
      <c r="E20" s="4" t="s">
        <v>13</v>
      </c>
      <c r="F20" s="6">
        <v>150</v>
      </c>
    </row>
    <row r="21" spans="1:6" ht="14.25" customHeight="1" x14ac:dyDescent="0.25">
      <c r="A21" s="5">
        <v>46094</v>
      </c>
      <c r="B21" s="4" t="s">
        <v>31</v>
      </c>
      <c r="C21" s="4" t="s">
        <v>15</v>
      </c>
      <c r="D21" s="4" t="s">
        <v>22</v>
      </c>
      <c r="E21" s="4" t="s">
        <v>17</v>
      </c>
      <c r="F21" s="6">
        <v>1800</v>
      </c>
    </row>
    <row r="22" spans="1:6" ht="14.25" customHeight="1" x14ac:dyDescent="0.25">
      <c r="A22" s="5">
        <v>46095</v>
      </c>
      <c r="B22" s="4" t="s">
        <v>20</v>
      </c>
      <c r="C22" s="4" t="s">
        <v>9</v>
      </c>
      <c r="D22" s="4" t="s">
        <v>10</v>
      </c>
      <c r="E22" s="4" t="s">
        <v>11</v>
      </c>
      <c r="F22" s="6">
        <v>600</v>
      </c>
    </row>
    <row r="23" spans="1:6" ht="14.25" customHeight="1" x14ac:dyDescent="0.25">
      <c r="A23" s="5">
        <v>46096</v>
      </c>
      <c r="B23" s="4" t="s">
        <v>8</v>
      </c>
      <c r="C23" s="4" t="s">
        <v>9</v>
      </c>
      <c r="D23" s="4" t="s">
        <v>10</v>
      </c>
      <c r="E23" s="4" t="s">
        <v>13</v>
      </c>
      <c r="F23" s="6">
        <v>390</v>
      </c>
    </row>
    <row r="24" spans="1:6" ht="14.25" customHeight="1" x14ac:dyDescent="0.25">
      <c r="A24" s="5">
        <v>46097</v>
      </c>
      <c r="B24" s="4" t="s">
        <v>32</v>
      </c>
      <c r="C24" s="4" t="s">
        <v>15</v>
      </c>
      <c r="D24" s="4" t="s">
        <v>22</v>
      </c>
      <c r="E24" s="4" t="s">
        <v>23</v>
      </c>
      <c r="F24" s="6">
        <v>90</v>
      </c>
    </row>
    <row r="25" spans="1:6" ht="14.25" customHeight="1" x14ac:dyDescent="0.25">
      <c r="A25" s="5">
        <v>46098</v>
      </c>
      <c r="B25" s="4" t="s">
        <v>12</v>
      </c>
      <c r="C25" s="4" t="s">
        <v>9</v>
      </c>
      <c r="D25" s="4" t="s">
        <v>10</v>
      </c>
      <c r="E25" s="4" t="s">
        <v>19</v>
      </c>
      <c r="F25" s="6">
        <v>210</v>
      </c>
    </row>
    <row r="26" spans="1:6" ht="14.25" customHeight="1" x14ac:dyDescent="0.25">
      <c r="A26" s="5">
        <v>46099</v>
      </c>
      <c r="B26" s="4" t="s">
        <v>14</v>
      </c>
      <c r="C26" s="4" t="s">
        <v>15</v>
      </c>
      <c r="D26" s="4" t="s">
        <v>16</v>
      </c>
      <c r="E26" s="4" t="s">
        <v>17</v>
      </c>
      <c r="F26" s="6">
        <v>750</v>
      </c>
    </row>
    <row r="27" spans="1:6" ht="14.25" customHeight="1" x14ac:dyDescent="0.25">
      <c r="A27" s="5">
        <v>46100</v>
      </c>
      <c r="B27" s="4" t="s">
        <v>24</v>
      </c>
      <c r="C27" s="4" t="s">
        <v>9</v>
      </c>
      <c r="D27" s="4" t="s">
        <v>10</v>
      </c>
      <c r="E27" s="4" t="s">
        <v>11</v>
      </c>
      <c r="F27" s="6">
        <v>280</v>
      </c>
    </row>
    <row r="28" spans="1:6" ht="14.25" customHeight="1" x14ac:dyDescent="0.25">
      <c r="A28" s="5">
        <v>46101</v>
      </c>
      <c r="B28" s="4" t="s">
        <v>26</v>
      </c>
      <c r="C28" s="4" t="s">
        <v>9</v>
      </c>
      <c r="D28" s="4" t="s">
        <v>10</v>
      </c>
      <c r="E28" s="4" t="s">
        <v>13</v>
      </c>
      <c r="F28" s="6">
        <v>330</v>
      </c>
    </row>
    <row r="29" spans="1:6" ht="14.25" customHeight="1" x14ac:dyDescent="0.25">
      <c r="A29" s="5">
        <v>46102</v>
      </c>
      <c r="B29" s="4" t="s">
        <v>33</v>
      </c>
      <c r="C29" s="4" t="s">
        <v>15</v>
      </c>
      <c r="D29" s="4" t="s">
        <v>34</v>
      </c>
      <c r="E29" s="4" t="s">
        <v>13</v>
      </c>
      <c r="F29" s="6">
        <v>400</v>
      </c>
    </row>
    <row r="30" spans="1:6" ht="14.25" customHeight="1" x14ac:dyDescent="0.25">
      <c r="A30" s="5">
        <v>46103</v>
      </c>
      <c r="B30" s="4" t="s">
        <v>28</v>
      </c>
      <c r="C30" s="4" t="s">
        <v>9</v>
      </c>
      <c r="D30" s="4" t="s">
        <v>10</v>
      </c>
      <c r="E30" s="4" t="s">
        <v>11</v>
      </c>
      <c r="F30" s="6">
        <v>520</v>
      </c>
    </row>
    <row r="31" spans="1:6" ht="14.25" customHeight="1" x14ac:dyDescent="0.25">
      <c r="A31" s="5">
        <v>46104</v>
      </c>
      <c r="B31" s="4" t="s">
        <v>18</v>
      </c>
      <c r="C31" s="4" t="s">
        <v>9</v>
      </c>
      <c r="D31" s="4" t="s">
        <v>10</v>
      </c>
      <c r="E31" s="4" t="s">
        <v>19</v>
      </c>
      <c r="F31" s="6">
        <v>140</v>
      </c>
    </row>
    <row r="32" spans="1:6" ht="14.25" customHeight="1" x14ac:dyDescent="0.25">
      <c r="A32" s="5">
        <v>46105</v>
      </c>
      <c r="B32" s="4" t="s">
        <v>14</v>
      </c>
      <c r="C32" s="4" t="s">
        <v>15</v>
      </c>
      <c r="D32" s="4" t="s">
        <v>16</v>
      </c>
      <c r="E32" s="4" t="s">
        <v>17</v>
      </c>
      <c r="F32" s="6">
        <v>650</v>
      </c>
    </row>
    <row r="33" spans="1:6" ht="14.25" customHeight="1" x14ac:dyDescent="0.25">
      <c r="A33" s="5">
        <v>46106</v>
      </c>
      <c r="B33" s="4" t="s">
        <v>20</v>
      </c>
      <c r="C33" s="4" t="s">
        <v>9</v>
      </c>
      <c r="D33" s="4" t="s">
        <v>10</v>
      </c>
      <c r="E33" s="4" t="s">
        <v>11</v>
      </c>
      <c r="F33" s="6">
        <v>700</v>
      </c>
    </row>
    <row r="34" spans="1:6" ht="14.25" customHeight="1" x14ac:dyDescent="0.25">
      <c r="A34" s="5">
        <v>46107</v>
      </c>
      <c r="B34" s="4" t="s">
        <v>35</v>
      </c>
      <c r="C34" s="4" t="s">
        <v>15</v>
      </c>
      <c r="D34" s="4" t="s">
        <v>34</v>
      </c>
      <c r="E34" s="4" t="s">
        <v>11</v>
      </c>
      <c r="F34" s="6">
        <v>300</v>
      </c>
    </row>
    <row r="35" spans="1:6" ht="14.25" customHeight="1" x14ac:dyDescent="0.25">
      <c r="A35" s="5">
        <v>46108</v>
      </c>
      <c r="B35" s="4" t="s">
        <v>8</v>
      </c>
      <c r="C35" s="4" t="s">
        <v>9</v>
      </c>
      <c r="D35" s="4" t="s">
        <v>10</v>
      </c>
      <c r="E35" s="4" t="s">
        <v>13</v>
      </c>
      <c r="F35" s="6">
        <v>410</v>
      </c>
    </row>
    <row r="36" spans="1:6" ht="14.25" customHeight="1" x14ac:dyDescent="0.25">
      <c r="A36" s="5">
        <v>46109</v>
      </c>
      <c r="B36" s="4" t="s">
        <v>12</v>
      </c>
      <c r="C36" s="4" t="s">
        <v>9</v>
      </c>
      <c r="D36" s="4" t="s">
        <v>10</v>
      </c>
      <c r="E36" s="4" t="s">
        <v>19</v>
      </c>
      <c r="F36" s="6">
        <v>230</v>
      </c>
    </row>
    <row r="37" spans="1:6" ht="14.25" customHeight="1" x14ac:dyDescent="0.25">
      <c r="A37" s="5">
        <v>46110</v>
      </c>
      <c r="B37" s="4" t="s">
        <v>36</v>
      </c>
      <c r="C37" s="4" t="s">
        <v>15</v>
      </c>
      <c r="D37" s="4" t="s">
        <v>22</v>
      </c>
      <c r="E37" s="4" t="s">
        <v>17</v>
      </c>
      <c r="F37" s="6">
        <v>600</v>
      </c>
    </row>
    <row r="38" spans="1:6" ht="14.25" customHeight="1" x14ac:dyDescent="0.25">
      <c r="A38" s="5">
        <v>46111</v>
      </c>
      <c r="B38" s="4" t="s">
        <v>37</v>
      </c>
      <c r="C38" s="4" t="s">
        <v>9</v>
      </c>
      <c r="D38" s="4" t="s">
        <v>10</v>
      </c>
      <c r="E38" s="4" t="s">
        <v>11</v>
      </c>
      <c r="F38" s="6">
        <v>800</v>
      </c>
    </row>
    <row r="39" spans="1:6" ht="14.25" customHeight="1" x14ac:dyDescent="0.25">
      <c r="A39" s="5">
        <v>46111</v>
      </c>
      <c r="B39" s="4" t="s">
        <v>38</v>
      </c>
      <c r="C39" s="4" t="s">
        <v>9</v>
      </c>
      <c r="D39" s="4" t="s">
        <v>10</v>
      </c>
      <c r="E39" s="4" t="s">
        <v>13</v>
      </c>
      <c r="F39" s="7">
        <v>460</v>
      </c>
    </row>
    <row r="40" spans="1:6" ht="14.25" customHeight="1" x14ac:dyDescent="0.25">
      <c r="A40" s="5">
        <v>46112</v>
      </c>
      <c r="B40" s="4" t="s">
        <v>20</v>
      </c>
      <c r="C40" s="4" t="s">
        <v>9</v>
      </c>
      <c r="D40" s="4" t="s">
        <v>10</v>
      </c>
      <c r="E40" s="4" t="s">
        <v>11</v>
      </c>
      <c r="F40" s="7">
        <v>550</v>
      </c>
    </row>
    <row r="41" spans="1:6" ht="14.25" customHeight="1" x14ac:dyDescent="0.25">
      <c r="A41" s="5">
        <v>46112</v>
      </c>
      <c r="B41" s="4" t="s">
        <v>39</v>
      </c>
      <c r="C41" s="4" t="s">
        <v>15</v>
      </c>
      <c r="D41" s="4" t="s">
        <v>16</v>
      </c>
      <c r="E41" s="4" t="s">
        <v>17</v>
      </c>
      <c r="F41" s="7">
        <v>500</v>
      </c>
    </row>
    <row r="42" spans="1:6" ht="14.25" customHeight="1" x14ac:dyDescent="0.25">
      <c r="A42" s="8">
        <v>46112</v>
      </c>
      <c r="B42" s="9" t="s">
        <v>40</v>
      </c>
      <c r="C42" s="9" t="s">
        <v>15</v>
      </c>
      <c r="D42" s="9" t="s">
        <v>34</v>
      </c>
      <c r="E42" s="9" t="s">
        <v>17</v>
      </c>
      <c r="F42" s="10">
        <v>400</v>
      </c>
    </row>
    <row r="43" spans="1:6" ht="14.25" customHeight="1" x14ac:dyDescent="0.25">
      <c r="F43" s="2"/>
    </row>
  </sheetData>
  <mergeCells count="2">
    <mergeCell ref="A1:XFD2"/>
    <mergeCell ref="A4:F4"/>
  </mergeCells>
  <conditionalFormatting sqref="C7:C42">
    <cfRule type="cellIs" dxfId="5" priority="2" operator="equal">
      <formula>$C$20</formula>
    </cfRule>
    <cfRule type="cellIs" dxfId="4" priority="3" operator="equal">
      <formula>$C$26</formula>
    </cfRule>
  </conditionalFormatting>
  <conditionalFormatting sqref="H7">
    <cfRule type="top10" dxfId="3" priority="1" rank="10"/>
  </conditionalFormatting>
  <dataValidations count="1">
    <dataValidation type="list" allowBlank="1" showInputMessage="1" showErrorMessage="1" sqref="C6:F6" xr:uid="{85905AD6-D2FF-4ABC-88FB-805AAC98775E}">
      <formula1>$C$6:$F$6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6689-264D-41FC-AEBF-7C76A6B99035}">
  <sheetPr>
    <pageSetUpPr autoPageBreaks="0"/>
  </sheetPr>
  <dimension ref="A1:H25"/>
  <sheetViews>
    <sheetView topLeftCell="C1" zoomScale="130" zoomScaleNormal="130" workbookViewId="0">
      <selection activeCell="E20" sqref="E20"/>
    </sheetView>
  </sheetViews>
  <sheetFormatPr defaultRowHeight="15" x14ac:dyDescent="0.25"/>
  <cols>
    <col min="1" max="1" width="30" customWidth="1"/>
    <col min="2" max="2" width="13.85546875" customWidth="1"/>
    <col min="3" max="3" width="2.85546875" customWidth="1"/>
    <col min="4" max="4" width="29.140625" customWidth="1"/>
    <col min="5" max="5" width="32.7109375" customWidth="1"/>
    <col min="6" max="6" width="2" customWidth="1"/>
    <col min="7" max="7" width="33.140625" customWidth="1"/>
    <col min="8" max="8" width="42" customWidth="1"/>
  </cols>
  <sheetData>
    <row r="1" spans="1:8" s="52" customFormat="1" ht="33.75" customHeight="1" x14ac:dyDescent="0.25">
      <c r="A1" s="52" t="s">
        <v>62</v>
      </c>
    </row>
    <row r="2" spans="1:8" s="1" customFormat="1" ht="14.25" x14ac:dyDescent="0.2"/>
    <row r="3" spans="1:8" s="1" customFormat="1" ht="15" customHeight="1" x14ac:dyDescent="0.2">
      <c r="A3" s="53" t="s">
        <v>41</v>
      </c>
      <c r="B3" s="53"/>
      <c r="C3" s="14"/>
      <c r="D3" s="54" t="s">
        <v>42</v>
      </c>
      <c r="E3" s="54"/>
      <c r="G3" s="55" t="s">
        <v>48</v>
      </c>
      <c r="H3" s="55"/>
    </row>
    <row r="4" spans="1:8" s="1" customFormat="1" ht="14.25" x14ac:dyDescent="0.2">
      <c r="A4" s="15" t="s">
        <v>43</v>
      </c>
      <c r="B4" s="16">
        <v>2180</v>
      </c>
      <c r="C4" s="14"/>
      <c r="D4" s="19" t="s">
        <v>43</v>
      </c>
      <c r="E4" s="16">
        <v>400</v>
      </c>
      <c r="G4" s="15" t="s">
        <v>41</v>
      </c>
      <c r="H4" s="16">
        <v>8110</v>
      </c>
    </row>
    <row r="5" spans="1:8" s="1" customFormat="1" ht="14.25" x14ac:dyDescent="0.2">
      <c r="A5" s="15" t="s">
        <v>44</v>
      </c>
      <c r="B5" s="16">
        <v>5030</v>
      </c>
      <c r="C5" s="14"/>
      <c r="D5" s="19" t="s">
        <v>44</v>
      </c>
      <c r="E5" s="16">
        <v>300</v>
      </c>
      <c r="G5" s="15" t="s">
        <v>42</v>
      </c>
      <c r="H5" s="16">
        <v>9490</v>
      </c>
    </row>
    <row r="6" spans="1:8" s="1" customFormat="1" x14ac:dyDescent="0.25">
      <c r="A6" s="15"/>
      <c r="B6" s="16">
        <v>0</v>
      </c>
      <c r="C6" s="14"/>
      <c r="D6" s="19" t="s">
        <v>45</v>
      </c>
      <c r="E6" s="16">
        <v>210</v>
      </c>
      <c r="G6" s="15" t="s">
        <v>49</v>
      </c>
      <c r="H6" s="31">
        <v>-1380</v>
      </c>
    </row>
    <row r="7" spans="1:8" s="1" customFormat="1" ht="14.25" x14ac:dyDescent="0.2">
      <c r="A7" s="15" t="s">
        <v>46</v>
      </c>
      <c r="B7" s="16">
        <v>0</v>
      </c>
      <c r="C7" s="14"/>
      <c r="D7" s="19" t="s">
        <v>46</v>
      </c>
      <c r="E7" s="16">
        <v>8300</v>
      </c>
    </row>
    <row r="8" spans="1:8" s="1" customFormat="1" ht="14.25" x14ac:dyDescent="0.2">
      <c r="A8" s="15" t="s">
        <v>47</v>
      </c>
      <c r="B8" s="16">
        <v>900</v>
      </c>
      <c r="D8" s="19" t="s">
        <v>47</v>
      </c>
      <c r="E8" s="16">
        <v>0</v>
      </c>
    </row>
    <row r="9" spans="1:8" s="1" customFormat="1" ht="14.25" x14ac:dyDescent="0.2">
      <c r="A9" s="15" t="s">
        <v>51</v>
      </c>
      <c r="B9" s="17">
        <v>22</v>
      </c>
      <c r="D9" s="19" t="s">
        <v>50</v>
      </c>
      <c r="E9" s="18">
        <v>14</v>
      </c>
    </row>
    <row r="10" spans="1:8" s="1" customFormat="1" ht="15.75" customHeight="1" thickBot="1" x14ac:dyDescent="0.3">
      <c r="A10" s="22" t="s">
        <v>41</v>
      </c>
      <c r="B10" s="27">
        <v>8100</v>
      </c>
      <c r="C10" s="2"/>
      <c r="D10" s="22" t="s">
        <v>42</v>
      </c>
      <c r="E10" s="28">
        <v>9490</v>
      </c>
    </row>
    <row r="11" spans="1:8" ht="11.25" customHeight="1" thickBot="1" x14ac:dyDescent="0.3">
      <c r="A11" s="23"/>
      <c r="B11" s="24"/>
      <c r="C11" s="24"/>
      <c r="D11" s="24"/>
      <c r="E11" s="24"/>
      <c r="F11" s="24"/>
      <c r="G11" s="25"/>
      <c r="H11" s="26"/>
    </row>
    <row r="12" spans="1:8" x14ac:dyDescent="0.25">
      <c r="A12" s="56" t="s">
        <v>52</v>
      </c>
      <c r="B12" s="56"/>
      <c r="D12" s="58" t="s">
        <v>54</v>
      </c>
      <c r="E12" s="58"/>
      <c r="F12" s="1"/>
      <c r="G12" s="55" t="s">
        <v>56</v>
      </c>
      <c r="H12" s="55"/>
    </row>
    <row r="13" spans="1:8" x14ac:dyDescent="0.25">
      <c r="A13" s="15" t="s">
        <v>41</v>
      </c>
      <c r="B13" s="21">
        <v>8110</v>
      </c>
      <c r="D13" s="15" t="s">
        <v>41</v>
      </c>
      <c r="E13" s="21">
        <v>8110</v>
      </c>
      <c r="F13" s="1"/>
      <c r="G13" s="15" t="s">
        <v>41</v>
      </c>
      <c r="H13" s="21">
        <v>8110</v>
      </c>
    </row>
    <row r="14" spans="1:8" x14ac:dyDescent="0.25">
      <c r="A14" s="15" t="s">
        <v>42</v>
      </c>
      <c r="B14" s="21">
        <v>9490</v>
      </c>
      <c r="D14" s="15" t="s">
        <v>42</v>
      </c>
      <c r="E14" s="21">
        <v>9490</v>
      </c>
      <c r="F14" s="1"/>
      <c r="G14" s="15" t="s">
        <v>42</v>
      </c>
      <c r="H14" s="21">
        <v>9490</v>
      </c>
    </row>
    <row r="15" spans="1:8" x14ac:dyDescent="0.25">
      <c r="A15" s="15" t="s">
        <v>49</v>
      </c>
      <c r="B15" s="31">
        <v>-1380</v>
      </c>
      <c r="D15" s="15" t="s">
        <v>55</v>
      </c>
      <c r="E15" s="30">
        <v>1.17</v>
      </c>
      <c r="F15" s="1"/>
      <c r="G15" s="15" t="s">
        <v>49</v>
      </c>
      <c r="H15" s="20">
        <v>-1380</v>
      </c>
    </row>
    <row r="16" spans="1:8" x14ac:dyDescent="0.25">
      <c r="A16" s="15" t="s">
        <v>53</v>
      </c>
      <c r="B16" s="29">
        <v>-0.17</v>
      </c>
      <c r="D16" s="59" t="s">
        <v>63</v>
      </c>
      <c r="E16" s="59"/>
      <c r="F16" s="1"/>
      <c r="G16" s="15" t="s">
        <v>58</v>
      </c>
      <c r="H16" s="32" t="s">
        <v>59</v>
      </c>
    </row>
    <row r="17" spans="1:8" x14ac:dyDescent="0.25">
      <c r="A17" s="57" t="s">
        <v>57</v>
      </c>
      <c r="B17" s="57"/>
      <c r="D17" s="60" t="s">
        <v>61</v>
      </c>
      <c r="E17" s="60"/>
      <c r="G17" s="57" t="s">
        <v>60</v>
      </c>
      <c r="H17" s="57"/>
    </row>
    <row r="22" spans="1:8" x14ac:dyDescent="0.25">
      <c r="A22" s="33"/>
    </row>
    <row r="25" spans="1:8" x14ac:dyDescent="0.25">
      <c r="H25" t="s">
        <v>63</v>
      </c>
    </row>
  </sheetData>
  <mergeCells count="11">
    <mergeCell ref="A17:B17"/>
    <mergeCell ref="D12:E12"/>
    <mergeCell ref="D16:E16"/>
    <mergeCell ref="D17:E17"/>
    <mergeCell ref="G12:H12"/>
    <mergeCell ref="G17:H17"/>
    <mergeCell ref="A1:XFD1"/>
    <mergeCell ref="A3:B3"/>
    <mergeCell ref="D3:E3"/>
    <mergeCell ref="G3:H3"/>
    <mergeCell ref="A12:B12"/>
  </mergeCells>
  <conditionalFormatting sqref="B15">
    <cfRule type="cellIs" dxfId="2" priority="1" operator="lessThan">
      <formula>0</formula>
    </cfRule>
  </conditionalFormatting>
  <conditionalFormatting sqref="H6">
    <cfRule type="cellIs" dxfId="1" priority="3" operator="lessThan">
      <formula>0</formula>
    </cfRule>
  </conditionalFormatting>
  <conditionalFormatting sqref="H15">
    <cfRule type="cellIs" dxfId="0" priority="2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A7829-75D6-4BFC-95C7-343D23CB5CDF}">
  <dimension ref="A1:AR70"/>
  <sheetViews>
    <sheetView tabSelected="1" zoomScale="60" zoomScaleNormal="60" workbookViewId="0">
      <selection activeCell="M23" sqref="M23:M24"/>
    </sheetView>
  </sheetViews>
  <sheetFormatPr defaultRowHeight="15" x14ac:dyDescent="0.25"/>
  <cols>
    <col min="1" max="1" width="3" customWidth="1"/>
    <col min="2" max="2" width="10.85546875" customWidth="1"/>
    <col min="3" max="3" width="11.7109375" customWidth="1"/>
    <col min="4" max="4" width="27.7109375" customWidth="1"/>
    <col min="5" max="5" width="3.42578125" customWidth="1"/>
    <col min="6" max="6" width="30.42578125" bestFit="1" customWidth="1"/>
    <col min="7" max="7" width="20.7109375" customWidth="1"/>
    <col min="8" max="8" width="2" customWidth="1"/>
    <col min="9" max="9" width="30.42578125" bestFit="1" customWidth="1"/>
    <col min="10" max="10" width="21.5703125" customWidth="1"/>
    <col min="11" max="11" width="2.85546875" customWidth="1"/>
    <col min="12" max="12" width="3.5703125" customWidth="1"/>
    <col min="13" max="13" width="32.42578125" bestFit="1" customWidth="1"/>
    <col min="14" max="14" width="17.5703125" customWidth="1"/>
  </cols>
  <sheetData>
    <row r="1" spans="1:44" s="34" customFormat="1" ht="58.5" customHeight="1" x14ac:dyDescent="0.8">
      <c r="A1" s="34" t="s">
        <v>64</v>
      </c>
    </row>
    <row r="2" spans="1:44" s="35" customFormat="1" ht="11.25" customHeight="1" x14ac:dyDescent="0.25"/>
    <row r="3" spans="1:44" ht="15.75" thickBot="1" x14ac:dyDescent="0.3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</row>
    <row r="4" spans="1:44" ht="26.25" x14ac:dyDescent="0.4">
      <c r="A4" s="46"/>
      <c r="B4" s="67" t="s">
        <v>65</v>
      </c>
      <c r="C4" s="68"/>
      <c r="D4" s="69"/>
      <c r="E4" s="46"/>
      <c r="F4" s="62" t="s">
        <v>68</v>
      </c>
      <c r="G4" s="62"/>
      <c r="H4" s="46"/>
      <c r="I4" s="63" t="s">
        <v>66</v>
      </c>
      <c r="J4" s="63"/>
      <c r="K4" s="46"/>
      <c r="L4" s="46"/>
      <c r="M4" s="61" t="s">
        <v>72</v>
      </c>
      <c r="N4" s="61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</row>
    <row r="5" spans="1:44" ht="21" x14ac:dyDescent="0.25">
      <c r="A5" s="46"/>
      <c r="B5" s="70">
        <f>SUMIFS('Base de dados ( Lançamentos )'!F7:F42,'Base de dados ( Lançamentos )'!C7:C42,"Receita")</f>
        <v>8110</v>
      </c>
      <c r="C5" s="71"/>
      <c r="D5" s="72"/>
      <c r="E5" s="46"/>
      <c r="F5" s="39" t="s">
        <v>3</v>
      </c>
      <c r="G5" s="41" t="s">
        <v>69</v>
      </c>
      <c r="H5" s="46"/>
      <c r="I5" s="44" t="s">
        <v>3</v>
      </c>
      <c r="J5" s="45" t="s">
        <v>69</v>
      </c>
      <c r="K5" s="46"/>
      <c r="L5" s="47">
        <v>1</v>
      </c>
      <c r="M5" s="38" t="s">
        <v>20</v>
      </c>
      <c r="N5" s="40">
        <v>2270</v>
      </c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</row>
    <row r="6" spans="1:44" ht="15.75" x14ac:dyDescent="0.25">
      <c r="A6" s="46"/>
      <c r="B6" s="70"/>
      <c r="C6" s="71"/>
      <c r="D6" s="72"/>
      <c r="E6" s="46"/>
      <c r="F6" s="38" t="s">
        <v>26</v>
      </c>
      <c r="G6" s="40">
        <v>640</v>
      </c>
      <c r="H6" s="46"/>
      <c r="I6" s="42" t="s">
        <v>32</v>
      </c>
      <c r="J6" s="43">
        <v>90</v>
      </c>
      <c r="K6" s="46"/>
      <c r="L6" s="47">
        <v>2</v>
      </c>
      <c r="M6" s="38" t="s">
        <v>8</v>
      </c>
      <c r="N6" s="40">
        <v>1150</v>
      </c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</row>
    <row r="7" spans="1:44" ht="16.5" thickBot="1" x14ac:dyDescent="0.3">
      <c r="A7" s="46"/>
      <c r="B7" s="73"/>
      <c r="C7" s="74"/>
      <c r="D7" s="75"/>
      <c r="E7" s="46"/>
      <c r="F7" s="38" t="s">
        <v>8</v>
      </c>
      <c r="G7" s="40">
        <v>1150</v>
      </c>
      <c r="H7" s="46"/>
      <c r="I7" s="42" t="s">
        <v>14</v>
      </c>
      <c r="J7" s="43">
        <v>3500</v>
      </c>
      <c r="K7" s="46"/>
      <c r="L7" s="47">
        <v>3</v>
      </c>
      <c r="M7" s="38" t="s">
        <v>28</v>
      </c>
      <c r="N7" s="40">
        <v>1020</v>
      </c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</row>
    <row r="8" spans="1:44" ht="16.5" thickBot="1" x14ac:dyDescent="0.3">
      <c r="A8" s="46"/>
      <c r="B8" s="46"/>
      <c r="C8" s="46"/>
      <c r="D8" s="46"/>
      <c r="E8" s="46"/>
      <c r="F8" s="38" t="s">
        <v>12</v>
      </c>
      <c r="G8" s="40">
        <v>620</v>
      </c>
      <c r="H8" s="46"/>
      <c r="I8" s="42" t="s">
        <v>39</v>
      </c>
      <c r="J8" s="43">
        <v>500</v>
      </c>
      <c r="K8" s="46"/>
      <c r="L8" s="47">
        <v>4</v>
      </c>
      <c r="M8" s="38" t="s">
        <v>37</v>
      </c>
      <c r="N8" s="40">
        <v>800</v>
      </c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</row>
    <row r="9" spans="1:44" ht="21" x14ac:dyDescent="0.35">
      <c r="A9" s="46"/>
      <c r="B9" s="76" t="s">
        <v>42</v>
      </c>
      <c r="C9" s="77"/>
      <c r="D9" s="78"/>
      <c r="E9" s="46"/>
      <c r="F9" s="38" t="s">
        <v>24</v>
      </c>
      <c r="G9" s="40">
        <v>540</v>
      </c>
      <c r="H9" s="46"/>
      <c r="I9" s="42" t="s">
        <v>21</v>
      </c>
      <c r="J9" s="43">
        <v>280</v>
      </c>
      <c r="K9" s="46"/>
      <c r="L9" s="47">
        <v>5</v>
      </c>
      <c r="M9" s="38" t="s">
        <v>26</v>
      </c>
      <c r="N9" s="40">
        <v>640</v>
      </c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</row>
    <row r="10" spans="1:44" ht="15.75" x14ac:dyDescent="0.25">
      <c r="A10" s="46"/>
      <c r="B10" s="79">
        <f>SUMIFS('Base de dados ( Lançamentos )'!F7:F42,'Base de dados ( Lançamentos )'!C7:C42,"Despesa")</f>
        <v>9490</v>
      </c>
      <c r="C10" s="80"/>
      <c r="D10" s="81"/>
      <c r="E10" s="46"/>
      <c r="F10" s="38" t="s">
        <v>29</v>
      </c>
      <c r="G10" s="40">
        <v>200</v>
      </c>
      <c r="H10" s="46"/>
      <c r="I10" s="42" t="s">
        <v>36</v>
      </c>
      <c r="J10" s="43">
        <v>600</v>
      </c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</row>
    <row r="11" spans="1:44" ht="26.25" x14ac:dyDescent="0.4">
      <c r="A11" s="46"/>
      <c r="B11" s="79"/>
      <c r="C11" s="80"/>
      <c r="D11" s="81"/>
      <c r="E11" s="46"/>
      <c r="F11" s="38" t="s">
        <v>18</v>
      </c>
      <c r="G11" s="40">
        <v>260</v>
      </c>
      <c r="H11" s="46"/>
      <c r="I11" s="42" t="s">
        <v>27</v>
      </c>
      <c r="J11" s="43">
        <v>120</v>
      </c>
      <c r="K11" s="46"/>
      <c r="L11" s="46"/>
      <c r="M11" s="61" t="s">
        <v>73</v>
      </c>
      <c r="N11" s="61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</row>
    <row r="12" spans="1:44" ht="16.5" thickBot="1" x14ac:dyDescent="0.3">
      <c r="A12" s="46"/>
      <c r="B12" s="82"/>
      <c r="C12" s="83"/>
      <c r="D12" s="84"/>
      <c r="E12" s="46"/>
      <c r="F12" s="38" t="s">
        <v>28</v>
      </c>
      <c r="G12" s="40">
        <v>1020</v>
      </c>
      <c r="H12" s="46"/>
      <c r="I12" s="42" t="s">
        <v>33</v>
      </c>
      <c r="J12" s="43">
        <v>400</v>
      </c>
      <c r="K12" s="46"/>
      <c r="L12" s="49">
        <v>1</v>
      </c>
      <c r="M12" s="48" t="s">
        <v>14</v>
      </c>
      <c r="N12" s="43">
        <v>3500</v>
      </c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</row>
    <row r="13" spans="1:44" ht="16.5" thickBot="1" x14ac:dyDescent="0.3">
      <c r="A13" s="46"/>
      <c r="B13" s="46"/>
      <c r="C13" s="46"/>
      <c r="D13" s="46"/>
      <c r="E13" s="46"/>
      <c r="F13" s="38" t="s">
        <v>30</v>
      </c>
      <c r="G13" s="40">
        <v>150</v>
      </c>
      <c r="H13" s="46"/>
      <c r="I13" s="42" t="s">
        <v>35</v>
      </c>
      <c r="J13" s="43">
        <v>300</v>
      </c>
      <c r="K13" s="46"/>
      <c r="L13" s="49">
        <v>2</v>
      </c>
      <c r="M13" s="48" t="s">
        <v>31</v>
      </c>
      <c r="N13" s="43">
        <v>1800</v>
      </c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</row>
    <row r="14" spans="1:44" ht="21" x14ac:dyDescent="0.35">
      <c r="A14" s="46"/>
      <c r="B14" s="85" t="s">
        <v>48</v>
      </c>
      <c r="C14" s="86"/>
      <c r="D14" s="87"/>
      <c r="E14" s="46"/>
      <c r="F14" s="38" t="s">
        <v>38</v>
      </c>
      <c r="G14" s="40">
        <v>460</v>
      </c>
      <c r="H14" s="46"/>
      <c r="I14" s="42" t="s">
        <v>40</v>
      </c>
      <c r="J14" s="43">
        <v>400</v>
      </c>
      <c r="K14" s="46"/>
      <c r="L14" s="49">
        <v>3</v>
      </c>
      <c r="M14" s="48" t="s">
        <v>25</v>
      </c>
      <c r="N14" s="43">
        <v>1500</v>
      </c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</row>
    <row r="15" spans="1:44" ht="15.75" x14ac:dyDescent="0.25">
      <c r="A15" s="46"/>
      <c r="B15" s="88">
        <f>B5-B10</f>
        <v>-1380</v>
      </c>
      <c r="C15" s="89"/>
      <c r="D15" s="90"/>
      <c r="E15" s="46"/>
      <c r="F15" s="38" t="s">
        <v>20</v>
      </c>
      <c r="G15" s="40">
        <v>2270</v>
      </c>
      <c r="H15" s="46"/>
      <c r="I15" s="42" t="s">
        <v>25</v>
      </c>
      <c r="J15" s="43">
        <v>1500</v>
      </c>
      <c r="K15" s="46"/>
      <c r="L15" s="49">
        <v>4</v>
      </c>
      <c r="M15" s="48" t="s">
        <v>36</v>
      </c>
      <c r="N15" s="43">
        <v>600</v>
      </c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</row>
    <row r="16" spans="1:44" ht="15.75" x14ac:dyDescent="0.25">
      <c r="A16" s="46"/>
      <c r="B16" s="88"/>
      <c r="C16" s="89"/>
      <c r="D16" s="90"/>
      <c r="E16" s="46"/>
      <c r="F16" s="38" t="s">
        <v>37</v>
      </c>
      <c r="G16" s="40">
        <v>800</v>
      </c>
      <c r="H16" s="46"/>
      <c r="I16" s="42" t="s">
        <v>31</v>
      </c>
      <c r="J16" s="43">
        <v>1800</v>
      </c>
      <c r="K16" s="46"/>
      <c r="L16" s="49">
        <v>5</v>
      </c>
      <c r="M16" s="48" t="s">
        <v>39</v>
      </c>
      <c r="N16" s="43">
        <v>500</v>
      </c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</row>
    <row r="17" spans="1:44" ht="29.25" thickBot="1" x14ac:dyDescent="0.5">
      <c r="A17" s="46"/>
      <c r="B17" s="91"/>
      <c r="C17" s="92"/>
      <c r="D17" s="93"/>
      <c r="E17" s="46"/>
      <c r="F17" s="37" t="s">
        <v>67</v>
      </c>
      <c r="G17" s="36">
        <f>SUM(G6:G16)</f>
        <v>8110</v>
      </c>
      <c r="H17" s="46"/>
      <c r="I17" s="37" t="s">
        <v>67</v>
      </c>
      <c r="J17" s="36">
        <f>SUM(J6:J16)</f>
        <v>9490</v>
      </c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</row>
    <row r="18" spans="1:44" ht="15.75" thickBot="1" x14ac:dyDescent="0.3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</row>
    <row r="19" spans="1:44" ht="23.25" x14ac:dyDescent="0.35">
      <c r="A19" s="46"/>
      <c r="B19" s="64" t="s">
        <v>70</v>
      </c>
      <c r="C19" s="65"/>
      <c r="D19" s="6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</row>
    <row r="20" spans="1:44" x14ac:dyDescent="0.25">
      <c r="A20" s="46"/>
      <c r="B20" s="94">
        <v>-0.17</v>
      </c>
      <c r="C20" s="95"/>
      <c r="D20" s="9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</row>
    <row r="21" spans="1:44" x14ac:dyDescent="0.25">
      <c r="A21" s="46"/>
      <c r="B21" s="94"/>
      <c r="C21" s="95"/>
      <c r="D21" s="9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</row>
    <row r="22" spans="1:44" ht="15.75" thickBot="1" x14ac:dyDescent="0.3">
      <c r="A22" s="46"/>
      <c r="B22" s="97"/>
      <c r="C22" s="98"/>
      <c r="D22" s="99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</row>
    <row r="23" spans="1:44" ht="15.75" thickBot="1" x14ac:dyDescent="0.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</row>
    <row r="24" spans="1:44" ht="23.25" x14ac:dyDescent="0.35">
      <c r="A24" s="46"/>
      <c r="B24" s="100" t="s">
        <v>54</v>
      </c>
      <c r="C24" s="101"/>
      <c r="D24" s="102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</row>
    <row r="25" spans="1:44" ht="15" customHeight="1" x14ac:dyDescent="0.25">
      <c r="A25" s="46"/>
      <c r="B25" s="94">
        <v>1.17</v>
      </c>
      <c r="C25" s="95"/>
      <c r="D25" s="9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</row>
    <row r="26" spans="1:44" ht="15" customHeight="1" x14ac:dyDescent="0.25">
      <c r="A26" s="46"/>
      <c r="B26" s="94"/>
      <c r="C26" s="95"/>
      <c r="D26" s="9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</row>
    <row r="27" spans="1:44" ht="15.75" customHeight="1" thickBot="1" x14ac:dyDescent="0.3">
      <c r="A27" s="46"/>
      <c r="B27" s="97"/>
      <c r="C27" s="98"/>
      <c r="D27" s="99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</row>
    <row r="28" spans="1:44" ht="15.75" thickBot="1" x14ac:dyDescent="0.3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</row>
    <row r="29" spans="1:44" ht="23.25" x14ac:dyDescent="0.35">
      <c r="A29" s="46"/>
      <c r="B29" s="103" t="s">
        <v>56</v>
      </c>
      <c r="C29" s="104"/>
      <c r="D29" s="105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</row>
    <row r="30" spans="1:44" x14ac:dyDescent="0.25">
      <c r="A30" s="46"/>
      <c r="B30" s="106" t="s">
        <v>71</v>
      </c>
      <c r="C30" s="107"/>
      <c r="D30" s="108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</row>
    <row r="31" spans="1:44" x14ac:dyDescent="0.25">
      <c r="A31" s="46"/>
      <c r="B31" s="106"/>
      <c r="C31" s="107"/>
      <c r="D31" s="108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</row>
    <row r="32" spans="1:44" ht="15.75" thickBot="1" x14ac:dyDescent="0.3">
      <c r="A32" s="46"/>
      <c r="B32" s="109"/>
      <c r="C32" s="110"/>
      <c r="D32" s="111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</row>
    <row r="33" spans="1:44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</row>
    <row r="34" spans="1:44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</row>
    <row r="35" spans="1:44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</row>
    <row r="36" spans="1:44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</row>
    <row r="37" spans="1:44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</row>
    <row r="38" spans="1:44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</row>
    <row r="39" spans="1:44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</row>
    <row r="40" spans="1:44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</row>
    <row r="41" spans="1:44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</row>
    <row r="42" spans="1:44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</row>
    <row r="43" spans="1:44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</row>
    <row r="44" spans="1:44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</row>
    <row r="45" spans="1:44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</row>
    <row r="46" spans="1:44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</row>
    <row r="47" spans="1:44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</row>
    <row r="48" spans="1:44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</row>
    <row r="49" spans="1:44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</row>
    <row r="50" spans="1:44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</row>
    <row r="51" spans="1:44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</row>
    <row r="52" spans="1:44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</row>
    <row r="53" spans="1:44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</row>
    <row r="54" spans="1:44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</row>
    <row r="55" spans="1:44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</row>
    <row r="56" spans="1:44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</row>
    <row r="57" spans="1:44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</row>
    <row r="58" spans="1:44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</row>
    <row r="59" spans="1:44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</row>
    <row r="60" spans="1:44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</row>
    <row r="61" spans="1:44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</row>
    <row r="62" spans="1:44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</row>
    <row r="63" spans="1:44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</row>
    <row r="64" spans="1:44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</row>
    <row r="65" spans="1:44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</row>
    <row r="66" spans="1:44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</row>
    <row r="67" spans="1:44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</row>
    <row r="68" spans="1:44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</row>
    <row r="69" spans="1:44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</row>
    <row r="70" spans="1:44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</row>
  </sheetData>
  <mergeCells count="16">
    <mergeCell ref="B20:D22"/>
    <mergeCell ref="B24:D24"/>
    <mergeCell ref="B25:D27"/>
    <mergeCell ref="B29:D29"/>
    <mergeCell ref="B30:D32"/>
    <mergeCell ref="M4:N4"/>
    <mergeCell ref="M11:N11"/>
    <mergeCell ref="F4:G4"/>
    <mergeCell ref="I4:J4"/>
    <mergeCell ref="B19:D19"/>
    <mergeCell ref="B4:D4"/>
    <mergeCell ref="B5:D7"/>
    <mergeCell ref="B9:D9"/>
    <mergeCell ref="B10:D12"/>
    <mergeCell ref="B14:D14"/>
    <mergeCell ref="B15:D1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de dados ( Lançamentos )</vt:lpstr>
      <vt:lpstr>Resumo Financeiro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LucasOFC 17</cp:lastModifiedBy>
  <dcterms:created xsi:type="dcterms:W3CDTF">2026-02-14T19:46:57Z</dcterms:created>
  <dcterms:modified xsi:type="dcterms:W3CDTF">2026-02-19T22:35:56Z</dcterms:modified>
</cp:coreProperties>
</file>